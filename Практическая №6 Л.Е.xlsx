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5045" windowHeight="15165" activeTab="1"/>
  </bookViews>
  <sheets>
    <sheet name="Статистика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2" l="1"/>
  <c r="I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I8" i="2"/>
  <c r="I7" i="2"/>
  <c r="I6" i="2"/>
  <c r="I5" i="2"/>
  <c r="I4" i="2"/>
  <c r="I3" i="2"/>
  <c r="I2" i="2"/>
  <c r="I1" i="2"/>
  <c r="F2" i="2"/>
  <c r="D21" i="1"/>
  <c r="E21" i="1"/>
  <c r="F21" i="1"/>
  <c r="G21" i="1"/>
  <c r="D20" i="1"/>
  <c r="E20" i="1"/>
  <c r="F20" i="1"/>
  <c r="G20" i="1"/>
  <c r="C21" i="1"/>
  <c r="C20" i="1"/>
  <c r="D23" i="1"/>
  <c r="E23" i="1"/>
  <c r="F23" i="1"/>
  <c r="G23" i="1"/>
  <c r="D22" i="1"/>
  <c r="E22" i="1"/>
  <c r="F22" i="1"/>
  <c r="G22" i="1"/>
  <c r="C23" i="1"/>
  <c r="C22" i="1"/>
  <c r="D19" i="1"/>
  <c r="E19" i="1"/>
  <c r="F19" i="1"/>
  <c r="G19" i="1"/>
  <c r="C19" i="1"/>
  <c r="D18" i="1"/>
  <c r="E18" i="1"/>
  <c r="F18" i="1"/>
  <c r="G18" i="1"/>
  <c r="C18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<sst xmlns="http://schemas.openxmlformats.org/spreadsheetml/2006/main" count="61" uniqueCount="55">
  <si>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</si>
  <si>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</si>
  <si>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</si>
  <si>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</si>
  <si>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</si>
  <si>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</si>
  <si>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</si>
  <si>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</si>
  <si>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</si>
  <si>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Новиков Н.Н</t>
  </si>
  <si>
    <t>Морозова М.М</t>
  </si>
  <si>
    <t>Волков В.В</t>
  </si>
  <si>
    <t>Смирнова С.С</t>
  </si>
  <si>
    <t>Кузнецов К.К</t>
  </si>
  <si>
    <t>Сидорова С.С</t>
  </si>
  <si>
    <t>Петров П.П</t>
  </si>
  <si>
    <t>Иванов И.И</t>
  </si>
  <si>
    <t>Фёдорова Ф.Ф</t>
  </si>
  <si>
    <t>Егоров Е.Е</t>
  </si>
  <si>
    <t>Павлова П.П</t>
  </si>
  <si>
    <t>Соколов С.С</t>
  </si>
  <si>
    <t>Лебедева Л.Л</t>
  </si>
  <si>
    <t>Козлов К.К</t>
  </si>
  <si>
    <t>Степанова С.С</t>
  </si>
  <si>
    <t>Роутер</t>
  </si>
  <si>
    <t>Бумага А4</t>
  </si>
  <si>
    <t>Картридж</t>
  </si>
  <si>
    <t>USB-хаб</t>
  </si>
  <si>
    <t>Коврик для мыши</t>
  </si>
  <si>
    <t>Наушники</t>
  </si>
  <si>
    <t>Веб-камера</t>
  </si>
  <si>
    <t>Внешний HDD</t>
  </si>
  <si>
    <t>Флешка</t>
  </si>
  <si>
    <t>Сканер</t>
  </si>
  <si>
    <t>Принтер</t>
  </si>
  <si>
    <t>Мышь</t>
  </si>
  <si>
    <t>Клавиатура</t>
  </si>
  <si>
    <t>Монитор</t>
  </si>
  <si>
    <t>Ноутбук</t>
  </si>
  <si>
    <t>Товар</t>
  </si>
  <si>
    <t>Цена (руб.)</t>
  </si>
  <si>
    <t>Продано (шт.)</t>
  </si>
  <si>
    <t>Выручка</t>
  </si>
  <si>
    <t>Категория</t>
  </si>
  <si>
    <t>Сумма</t>
  </si>
  <si>
    <t xml:space="preserve">Среднее </t>
  </si>
  <si>
    <t>Медиана</t>
  </si>
  <si>
    <t>Мода</t>
  </si>
  <si>
    <t>Минимум</t>
  </si>
  <si>
    <t>Максимум</t>
  </si>
  <si>
    <t>Среднее</t>
  </si>
  <si>
    <t>Дисперсия</t>
  </si>
  <si>
    <t>Стандартное отклонение</t>
  </si>
  <si>
    <t>Кол-во товаров "топ"</t>
  </si>
  <si>
    <t>Сумма выручки "топ"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</si>
</sst>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="120" zoomScaleNormal="120" workbookViewId="0">
      <selection activeCell="B1" sqref="B1"/>
    </sheetView>
  </sheetViews>
  <sheetFormatPr defaultRowHeight="15" x14ac:dyDescent="0.25"/>
  <cols>
    <col min="2" max="2" width="15.42578125" bestFit="1" customWidth="1"/>
    <col min="3" max="3" width="12.42578125" bestFit="1" customWidth="1"/>
    <col min="4" max="4" width="17.28515625" bestFit="1" customWidth="1"/>
    <col min="5" max="5" width="15.28515625" bestFit="1" customWidth="1"/>
    <col min="6" max="6" width="14.140625" bestFit="1" customWidth="1"/>
    <col min="7" max="7" width="14" bestFit="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s="3" t="s">
        <v>16</v>
      </c>
      <c r="C2" s="4">
        <v>85</v>
      </c>
      <c r="D2" s="4">
        <v>78</v>
      </c>
      <c r="E2" s="4">
        <v>92</v>
      </c>
      <c r="F2" s="4">
        <f>SUM(C2:E2)</f>
        <v>255</v>
      </c>
      <c r="G2" s="4">
        <f>AVERAGE(C2:E2)</f>
        <v>85</v>
      </c>
    </row>
    <row r="3" spans="1:9" x14ac:dyDescent="0.25">
      <c r="A3">
        <v>2</v>
      </c>
      <c r="B3" s="3" t="s">
        <v>15</v>
      </c>
      <c r="C3" s="4">
        <v>72</v>
      </c>
      <c r="D3" s="4">
        <v>65</v>
      </c>
      <c r="E3" s="4">
        <v>80</v>
      </c>
      <c r="F3" s="4">
        <f t="shared" ref="F3:F16" si="0">SUM(C3:E3)</f>
        <v>217</v>
      </c>
      <c r="G3" s="4">
        <f t="shared" ref="G3:G16" si="1">AVERAGE(C3:E3)</f>
        <v>72.333333333333329</v>
      </c>
    </row>
    <row r="4" spans="1:9" x14ac:dyDescent="0.25">
      <c r="A4">
        <v>3</v>
      </c>
      <c r="B4" s="3" t="s">
        <v>14</v>
      </c>
      <c r="C4" s="4">
        <v>95</v>
      </c>
      <c r="D4" s="4">
        <v>88</v>
      </c>
      <c r="E4" s="4">
        <v>98</v>
      </c>
      <c r="F4" s="4">
        <f t="shared" si="0"/>
        <v>281</v>
      </c>
      <c r="G4" s="4">
        <f t="shared" si="1"/>
        <v>93.666666666666671</v>
      </c>
    </row>
    <row r="5" spans="1:9" x14ac:dyDescent="0.25">
      <c r="A5">
        <v>4</v>
      </c>
      <c r="B5" s="3" t="s">
        <v>13</v>
      </c>
      <c r="C5" s="4">
        <v>65</v>
      </c>
      <c r="D5" s="4">
        <v>55</v>
      </c>
      <c r="E5" s="4">
        <v>70</v>
      </c>
      <c r="F5" s="4">
        <f t="shared" si="0"/>
        <v>190</v>
      </c>
      <c r="G5" s="4">
        <f t="shared" si="1"/>
        <v>63.333333333333336</v>
      </c>
    </row>
    <row r="6" spans="1:9" x14ac:dyDescent="0.25">
      <c r="A6">
        <v>5</v>
      </c>
      <c r="B6" s="3" t="s">
        <v>12</v>
      </c>
      <c r="C6" s="4">
        <v>78</v>
      </c>
      <c r="D6" s="4">
        <v>82</v>
      </c>
      <c r="E6" s="4">
        <v>85</v>
      </c>
      <c r="F6" s="4">
        <f t="shared" si="0"/>
        <v>245</v>
      </c>
      <c r="G6" s="4">
        <f t="shared" si="1"/>
        <v>81.666666666666671</v>
      </c>
    </row>
    <row r="7" spans="1:9" x14ac:dyDescent="0.25">
      <c r="A7">
        <v>6</v>
      </c>
      <c r="B7" s="3" t="s">
        <v>11</v>
      </c>
      <c r="C7" s="4">
        <v>88</v>
      </c>
      <c r="D7" s="4">
        <v>90</v>
      </c>
      <c r="E7" s="4">
        <v>95</v>
      </c>
      <c r="F7" s="4">
        <f t="shared" si="0"/>
        <v>273</v>
      </c>
      <c r="G7" s="4">
        <f t="shared" si="1"/>
        <v>91</v>
      </c>
    </row>
    <row r="8" spans="1:9" x14ac:dyDescent="0.25">
      <c r="A8">
        <v>7</v>
      </c>
      <c r="B8" s="3" t="s">
        <v>10</v>
      </c>
      <c r="C8" s="4">
        <v>65</v>
      </c>
      <c r="D8" s="4">
        <v>70</v>
      </c>
      <c r="E8" s="4">
        <v>68</v>
      </c>
      <c r="F8" s="4">
        <f t="shared" si="0"/>
        <v>203</v>
      </c>
      <c r="G8" s="4">
        <f t="shared" si="1"/>
        <v>67.666666666666671</v>
      </c>
    </row>
    <row r="9" spans="1:9" x14ac:dyDescent="0.25">
      <c r="A9">
        <v>8</v>
      </c>
      <c r="B9" s="3" t="s">
        <v>9</v>
      </c>
      <c r="C9" s="4">
        <v>92</v>
      </c>
      <c r="D9" s="4">
        <v>85</v>
      </c>
      <c r="E9" s="4">
        <v>88</v>
      </c>
      <c r="F9" s="4">
        <f t="shared" si="0"/>
        <v>265</v>
      </c>
      <c r="G9" s="4">
        <f t="shared" si="1"/>
        <v>88.333333333333329</v>
      </c>
    </row>
    <row r="10" spans="1:9" x14ac:dyDescent="0.25">
      <c r="A10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4">
        <f t="shared" si="1"/>
        <v>57.666666666666664</v>
      </c>
    </row>
    <row r="11" spans="1:9" x14ac:dyDescent="0.25">
      <c r="A11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4">
        <f t="shared" si="1"/>
        <v>79</v>
      </c>
    </row>
    <row r="12" spans="1:9" x14ac:dyDescent="0.25">
      <c r="A1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4">
        <f t="shared" si="1"/>
        <v>70</v>
      </c>
    </row>
    <row r="13" spans="1:9" x14ac:dyDescent="0.25">
      <c r="A13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4">
        <f t="shared" si="1"/>
        <v>92</v>
      </c>
    </row>
    <row r="14" spans="1:9" x14ac:dyDescent="0.25">
      <c r="A14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4">
        <f t="shared" si="1"/>
        <v>77.666666666666671</v>
      </c>
    </row>
    <row r="15" spans="1:9" x14ac:dyDescent="0.25">
      <c r="A15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4">
        <f t="shared" si="1"/>
        <v>61.666666666666664</v>
      </c>
    </row>
    <row r="16" spans="1:9" x14ac:dyDescent="0.25">
      <c r="A16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4">
        <f t="shared" si="1"/>
        <v>97.666666666666671</v>
      </c>
    </row>
    <row r="17" spans="2:7" x14ac:dyDescent="0.25">
      <c r="C17" s="4"/>
      <c r="D17" s="4"/>
      <c r="E17" s="4"/>
      <c r="F17" s="4"/>
      <c r="G17" s="4"/>
    </row>
    <row r="18" spans="2:7" x14ac:dyDescent="0.25">
      <c r="B18" s="3" t="s">
        <v>44</v>
      </c>
      <c r="C18" s="4">
        <f>SUM(C2:C16)</f>
        <v>1170</v>
      </c>
      <c r="D18" s="4">
        <f t="shared" ref="D18:G18" si="2">SUM(D2:D16)</f>
        <v>1139</v>
      </c>
      <c r="E18" s="4">
        <f t="shared" si="2"/>
        <v>1227</v>
      </c>
      <c r="F18" s="4">
        <f t="shared" si="2"/>
        <v>3536</v>
      </c>
      <c r="G18" s="4">
        <f t="shared" si="2"/>
        <v>1178.6666666666667</v>
      </c>
    </row>
    <row r="19" spans="2:7" x14ac:dyDescent="0.25">
      <c r="B19" s="3" t="s">
        <v>45</v>
      </c>
      <c r="C19" s="4">
        <f>AVERAGE(C2:C16)</f>
        <v>78</v>
      </c>
      <c r="D19" s="4">
        <f t="shared" ref="D19:G19" si="3">AVERAGE(D2:D16)</f>
        <v>75.933333333333337</v>
      </c>
      <c r="E19" s="4">
        <f t="shared" si="3"/>
        <v>81.8</v>
      </c>
      <c r="F19" s="4">
        <f t="shared" si="3"/>
        <v>235.73333333333332</v>
      </c>
      <c r="G19" s="4">
        <f t="shared" si="3"/>
        <v>78.577777777777783</v>
      </c>
    </row>
    <row r="20" spans="2:7" x14ac:dyDescent="0.25">
      <c r="B20" s="3" t="s">
        <v>46</v>
      </c>
      <c r="C20" s="4">
        <f>MEDIAN(C2:C16)</f>
        <v>78</v>
      </c>
      <c r="D20" s="4">
        <f t="shared" ref="D20:G20" si="4">MEDIAN(D2:D16)</f>
        <v>78</v>
      </c>
      <c r="E20" s="4">
        <f t="shared" si="4"/>
        <v>82</v>
      </c>
      <c r="F20" s="4">
        <f t="shared" si="4"/>
        <v>237</v>
      </c>
      <c r="G20" s="4">
        <f t="shared" si="4"/>
        <v>79</v>
      </c>
    </row>
    <row r="21" spans="2:7" x14ac:dyDescent="0.25">
      <c r="B21" s="3" t="s">
        <v>47</v>
      </c>
      <c r="C21">
        <f>MODE(C2:C16)</f>
        <v>65</v>
      </c>
      <c r="D21">
        <f t="shared" ref="D21:G21" si="5">MODE(D2:D16)</f>
        <v>78</v>
      </c>
      <c r="E21">
        <f t="shared" si="5"/>
        <v>80</v>
      </c>
      <c r="F21" t="e">
        <f t="shared" si="5"/>
        <v>#N/A</v>
      </c>
      <c r="G21" t="e">
        <f t="shared" si="5"/>
        <v>#N/A</v>
      </c>
    </row>
    <row r="22" spans="2:7" x14ac:dyDescent="0.25">
      <c r="B22" s="3" t="s">
        <v>48</v>
      </c>
      <c r="C22" s="4">
        <f>MIN(C2:C16)</f>
        <v>55</v>
      </c>
      <c r="D22" s="4">
        <f t="shared" ref="D22:G22" si="6">MIN(D2:D16)</f>
        <v>55</v>
      </c>
      <c r="E22" s="4">
        <f t="shared" si="6"/>
        <v>58</v>
      </c>
      <c r="F22" s="4">
        <f t="shared" si="6"/>
        <v>173</v>
      </c>
      <c r="G22" s="4">
        <f t="shared" si="6"/>
        <v>57.666666666666664</v>
      </c>
    </row>
    <row r="23" spans="2:7" x14ac:dyDescent="0.25">
      <c r="B23" s="3" t="s">
        <v>49</v>
      </c>
      <c r="C23" s="4">
        <f>MAX(C2:C16)</f>
        <v>98</v>
      </c>
      <c r="D23" s="4">
        <f t="shared" ref="D23:G23" si="7">MAX(D2:D16)</f>
        <v>95</v>
      </c>
      <c r="E23" s="4">
        <f t="shared" si="7"/>
        <v>100</v>
      </c>
      <c r="F23" s="4">
        <f t="shared" si="7"/>
        <v>293</v>
      </c>
      <c r="G23" s="4">
        <f t="shared" si="7"/>
        <v>97.666666666666671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H11" sqref="H11"/>
    </sheetView>
  </sheetViews>
  <sheetFormatPr defaultRowHeight="15" x14ac:dyDescent="0.25"/>
  <cols>
    <col min="2" max="2" width="17.5703125" bestFit="1" customWidth="1"/>
    <col min="3" max="3" width="11.42578125" bestFit="1" customWidth="1"/>
    <col min="4" max="4" width="14" bestFit="1" customWidth="1"/>
    <col min="6" max="6" width="10.28515625" bestFit="1" customWidth="1"/>
    <col min="8" max="8" width="24.5703125" bestFit="1" customWidth="1"/>
    <col min="9" max="9" width="12" bestFit="1" customWidth="1"/>
  </cols>
  <sheetData>
    <row r="1" spans="1:9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H1" t="s">
        <v>44</v>
      </c>
      <c r="I1">
        <f>SUM(E2:E16)</f>
        <v>1888100</v>
      </c>
    </row>
    <row r="2" spans="1:9" x14ac:dyDescent="0.25">
      <c r="A2">
        <v>1</v>
      </c>
      <c r="B2" t="s">
        <v>38</v>
      </c>
      <c r="C2">
        <v>45000</v>
      </c>
      <c r="D2">
        <v>12</v>
      </c>
      <c r="E2">
        <f>C2*D2</f>
        <v>540000</v>
      </c>
      <c r="F2" t="str">
        <f>IF(E2&gt;100000, "топ", IF(E2&gt;50000, "средний","низкий"))</f>
        <v>топ</v>
      </c>
      <c r="H2" t="s">
        <v>50</v>
      </c>
      <c r="I2">
        <f>AVERAGE(E2:E16)</f>
        <v>125873.33333333333</v>
      </c>
    </row>
    <row r="3" spans="1:9" x14ac:dyDescent="0.25">
      <c r="A3">
        <v>2</v>
      </c>
      <c r="B3" t="s">
        <v>37</v>
      </c>
      <c r="C3">
        <v>18000</v>
      </c>
      <c r="D3">
        <v>25</v>
      </c>
      <c r="E3">
        <f t="shared" ref="E3:E16" si="0">C3*D3</f>
        <v>450000</v>
      </c>
      <c r="F3" t="str">
        <f t="shared" ref="F3:F16" si="1">IF(E3&gt;100000, "топ", IF(E3&gt;50000, "средний","низкий"))</f>
        <v>топ</v>
      </c>
      <c r="H3" t="s">
        <v>46</v>
      </c>
      <c r="I3">
        <f>MEDIAN(E2:E16)</f>
        <v>70000</v>
      </c>
    </row>
    <row r="4" spans="1:9" x14ac:dyDescent="0.25">
      <c r="A4">
        <v>3</v>
      </c>
      <c r="B4" t="s">
        <v>36</v>
      </c>
      <c r="C4">
        <v>1500</v>
      </c>
      <c r="D4">
        <v>60</v>
      </c>
      <c r="E4">
        <f t="shared" si="0"/>
        <v>90000</v>
      </c>
      <c r="F4" t="str">
        <f t="shared" si="1"/>
        <v>средний</v>
      </c>
      <c r="H4" t="s">
        <v>47</v>
      </c>
      <c r="I4" t="e">
        <f>MODE(E2:E16)</f>
        <v>#N/A</v>
      </c>
    </row>
    <row r="5" spans="1:9" x14ac:dyDescent="0.25">
      <c r="A5">
        <v>4</v>
      </c>
      <c r="B5" t="s">
        <v>35</v>
      </c>
      <c r="C5">
        <v>800</v>
      </c>
      <c r="D5">
        <v>85</v>
      </c>
      <c r="E5">
        <f t="shared" si="0"/>
        <v>68000</v>
      </c>
      <c r="F5" t="str">
        <f t="shared" si="1"/>
        <v>средний</v>
      </c>
      <c r="H5" t="s">
        <v>48</v>
      </c>
      <c r="I5">
        <f>MIN(E3:E16)</f>
        <v>36000</v>
      </c>
    </row>
    <row r="6" spans="1:9" x14ac:dyDescent="0.25">
      <c r="A6">
        <v>5</v>
      </c>
      <c r="B6" t="s">
        <v>34</v>
      </c>
      <c r="C6">
        <v>12000</v>
      </c>
      <c r="D6">
        <v>8</v>
      </c>
      <c r="E6">
        <f t="shared" si="0"/>
        <v>96000</v>
      </c>
      <c r="F6" t="str">
        <f t="shared" si="1"/>
        <v>средний</v>
      </c>
      <c r="H6" t="s">
        <v>49</v>
      </c>
      <c r="I6">
        <f>MAX(E2:E16)</f>
        <v>540000</v>
      </c>
    </row>
    <row r="7" spans="1:9" x14ac:dyDescent="0.25">
      <c r="A7">
        <v>6</v>
      </c>
      <c r="B7" t="s">
        <v>33</v>
      </c>
      <c r="C7">
        <v>9000</v>
      </c>
      <c r="D7">
        <v>6</v>
      </c>
      <c r="E7">
        <f t="shared" si="0"/>
        <v>54000</v>
      </c>
      <c r="F7" t="str">
        <f t="shared" si="1"/>
        <v>средний</v>
      </c>
      <c r="H7" t="s">
        <v>52</v>
      </c>
      <c r="I7">
        <f>STDEV(E2:E16)</f>
        <v>152155.31757604354</v>
      </c>
    </row>
    <row r="8" spans="1:9" x14ac:dyDescent="0.25">
      <c r="A8">
        <v>7</v>
      </c>
      <c r="B8" t="s">
        <v>32</v>
      </c>
      <c r="C8">
        <v>600</v>
      </c>
      <c r="D8">
        <v>120</v>
      </c>
      <c r="E8">
        <f t="shared" si="0"/>
        <v>72000</v>
      </c>
      <c r="F8" t="str">
        <f t="shared" si="1"/>
        <v>средний</v>
      </c>
      <c r="H8" t="s">
        <v>51</v>
      </c>
      <c r="I8">
        <f>VAR(E2:E16)</f>
        <v>23151240666.666668</v>
      </c>
    </row>
    <row r="9" spans="1:9" x14ac:dyDescent="0.25">
      <c r="A9">
        <v>8</v>
      </c>
      <c r="B9" t="s">
        <v>31</v>
      </c>
      <c r="C9">
        <v>5500</v>
      </c>
      <c r="D9">
        <v>15</v>
      </c>
      <c r="E9">
        <f t="shared" si="0"/>
        <v>82500</v>
      </c>
      <c r="F9" t="str">
        <f t="shared" si="1"/>
        <v>средний</v>
      </c>
      <c r="H9" t="s">
        <v>53</v>
      </c>
      <c r="I9">
        <f>COUNTIF(F2:F16, "топ")</f>
        <v>3</v>
      </c>
    </row>
    <row r="10" spans="1:9" x14ac:dyDescent="0.25">
      <c r="A10">
        <v>9</v>
      </c>
      <c r="B10" t="s">
        <v>30</v>
      </c>
      <c r="C10">
        <v>2800</v>
      </c>
      <c r="D10">
        <v>22</v>
      </c>
      <c r="E10">
        <f t="shared" si="0"/>
        <v>61600</v>
      </c>
      <c r="F10" t="str">
        <f t="shared" si="1"/>
        <v>средний</v>
      </c>
      <c r="H10" t="s">
        <v>54</v>
      </c>
      <c r="I10">
        <f>SUMIF(F2:F16, "топ",E2:E16)</f>
        <v>1102000</v>
      </c>
    </row>
    <row r="11" spans="1:9" x14ac:dyDescent="0.25">
      <c r="A11">
        <v>10</v>
      </c>
      <c r="B11" t="s">
        <v>29</v>
      </c>
      <c r="C11">
        <v>3200</v>
      </c>
      <c r="D11">
        <v>35</v>
      </c>
      <c r="E11">
        <f t="shared" si="0"/>
        <v>112000</v>
      </c>
      <c r="F11" t="str">
        <f t="shared" si="1"/>
        <v>топ</v>
      </c>
    </row>
    <row r="12" spans="1:9" x14ac:dyDescent="0.25">
      <c r="A12">
        <v>11</v>
      </c>
      <c r="B12" t="s">
        <v>28</v>
      </c>
      <c r="C12">
        <v>400</v>
      </c>
      <c r="D12">
        <v>90</v>
      </c>
      <c r="E12">
        <f t="shared" si="0"/>
        <v>36000</v>
      </c>
      <c r="F12" t="str">
        <f t="shared" si="1"/>
        <v>низкий</v>
      </c>
    </row>
    <row r="13" spans="1:9" x14ac:dyDescent="0.25">
      <c r="A13">
        <v>12</v>
      </c>
      <c r="B13" t="s">
        <v>27</v>
      </c>
      <c r="C13">
        <v>1200</v>
      </c>
      <c r="D13">
        <v>40</v>
      </c>
      <c r="E13">
        <f t="shared" si="0"/>
        <v>48000</v>
      </c>
      <c r="F13" t="str">
        <f t="shared" si="1"/>
        <v>низкий</v>
      </c>
    </row>
    <row r="14" spans="1:9" x14ac:dyDescent="0.25">
      <c r="A14">
        <v>13</v>
      </c>
      <c r="B14" t="s">
        <v>26</v>
      </c>
      <c r="C14">
        <v>2500</v>
      </c>
      <c r="D14">
        <v>18</v>
      </c>
      <c r="E14">
        <f t="shared" si="0"/>
        <v>45000</v>
      </c>
      <c r="F14" t="str">
        <f t="shared" si="1"/>
        <v>низкий</v>
      </c>
    </row>
    <row r="15" spans="1:9" x14ac:dyDescent="0.25">
      <c r="A15">
        <v>14</v>
      </c>
      <c r="B15" t="s">
        <v>25</v>
      </c>
      <c r="C15">
        <v>350</v>
      </c>
      <c r="D15">
        <v>200</v>
      </c>
      <c r="E15">
        <f t="shared" si="0"/>
        <v>70000</v>
      </c>
      <c r="F15" t="str">
        <f t="shared" si="1"/>
        <v>средний</v>
      </c>
    </row>
    <row r="16" spans="1:9" x14ac:dyDescent="0.25">
      <c r="A16">
        <v>15</v>
      </c>
      <c r="B16" t="s">
        <v>24</v>
      </c>
      <c r="C16">
        <v>4500</v>
      </c>
      <c r="D16">
        <v>14</v>
      </c>
      <c r="E16">
        <f t="shared" si="0"/>
        <v>63000</v>
      </c>
      <c r="F16" t="str">
        <f t="shared" si="1"/>
        <v>средний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2026-10-01T10:17:46Z</dcterms:created>
  <dcterms:modified xsi:type="dcterms:W3CDTF">2026-10-01T11:59:45Z</dcterms:modified>
</cp:coreProperties>
</file>