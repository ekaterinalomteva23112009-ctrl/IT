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0625" windowHeight="1468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G2" i="2"/>
  <c r="G3" i="2"/>
  <c r="G4" i="2"/>
  <c r="G5" i="2"/>
  <c r="F2" i="2"/>
  <c r="F3" i="2"/>
  <c r="F4" i="2"/>
  <c r="F5" i="2"/>
  <c r="E3" i="2"/>
  <c r="E4" i="2"/>
  <c r="E5" i="2"/>
  <c r="E2" i="2"/>
  <c r="B11" i="1"/>
  <c r="B10" i="1"/>
  <c r="B9" i="1"/>
  <c r="B7" i="1"/>
  <c r="J2" i="1"/>
  <c r="K2" i="1"/>
  <c r="E3" i="1"/>
  <c r="F3" i="1" s="1"/>
  <c r="E4" i="1"/>
  <c r="F4" i="1" s="1"/>
  <c r="E5" i="1"/>
  <c r="E6" i="1"/>
  <c r="E2" i="1"/>
  <c r="F2" i="1" s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<sst xmlns="http://schemas.openxmlformats.org/spreadsheetml/2006/main" count="30" uniqueCount="29">
  <si>
    <t>ФИО сотрудника</t>
  </si>
  <si>
    <t>Оклад (руб.)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</si>
  <si>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</si>
  <si>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</si>
  <si>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</si>
  <si>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</si>
  <si>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</si>
  <si>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</si>
  <si>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</t>
  </si>
  <si>
    <t>Смирнов С.С.</t>
  </si>
  <si>
    <t>№ п/п</t>
  </si>
  <si>
    <t>Ставка НДФЛ</t>
  </si>
  <si>
    <t>Коэффициент</t>
  </si>
  <si>
    <t>ИТОГО:</t>
  </si>
  <si>
    <t>Средняя зарплата:</t>
  </si>
  <si>
    <t>Максимум:</t>
  </si>
  <si>
    <t>Минимум: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</si>
  <si>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</si>
  <si>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</si>
  <si>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</si>
  <si>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</si>
  <si>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</si>
  <si>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</si>
  <si>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</si>
  <si>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</si>
  <si>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</si>
  <si>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</si>
  <si>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 xml:space="preserve">НДС </t>
  </si>
  <si>
    <t>Ставка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</si>
</sst>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[$₽-419]_-;\-* #,##0.00\ [$₽-419]_-;_-* &quot;-&quot;??\ [$₽-419]_-;_-@_-"/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2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2" sqref="E2"/>
    </sheetView>
  </sheetViews>
  <sheetFormatPr defaultRowHeight="15" x14ac:dyDescent="0.25"/>
  <cols>
    <col min="1" max="1" width="18" customWidth="1"/>
    <col min="2" max="2" width="14.85546875" customWidth="1"/>
    <col min="3" max="3" width="13.85546875" customWidth="1"/>
    <col min="4" max="4" width="13.7109375" customWidth="1"/>
    <col min="5" max="5" width="11.85546875" customWidth="1"/>
    <col min="6" max="6" width="12" bestFit="1" customWidth="1"/>
    <col min="8" max="8" width="13.5703125" customWidth="1"/>
    <col min="9" max="9" width="14.5703125" customWidth="1"/>
    <col min="10" max="10" width="12" bestFit="1" customWidth="1"/>
  </cols>
  <sheetData>
    <row r="1" spans="1:11" x14ac:dyDescent="0.25">
      <c r="A1" s="2" t="s">
        <v>0</v>
      </c>
      <c r="B1" s="3" t="s">
        <v>1</v>
      </c>
      <c r="C1" s="2" t="s">
        <v>2</v>
      </c>
      <c r="D1" s="3" t="s">
        <v>2</v>
      </c>
      <c r="E1" s="3" t="s">
        <v>3</v>
      </c>
      <c r="F1" s="3" t="s">
        <v>4</v>
      </c>
      <c r="G1" s="3" t="s">
        <v>10</v>
      </c>
      <c r="H1" s="3" t="s">
        <v>11</v>
      </c>
      <c r="I1" s="3" t="s">
        <v>12</v>
      </c>
    </row>
    <row r="2" spans="1:11" x14ac:dyDescent="0.25">
      <c r="A2" t="s">
        <v>5</v>
      </c>
      <c r="B2" s="4">
        <v>50000</v>
      </c>
      <c r="C2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>
        <v>1</v>
      </c>
      <c r="H2" s="5">
        <v>0.15</v>
      </c>
      <c r="I2">
        <v>1.5</v>
      </c>
      <c r="J2" s="4">
        <f>B2*I$2</f>
        <v>75000</v>
      </c>
      <c r="K2" s="4">
        <f>C2*$I$2</f>
        <v>30</v>
      </c>
    </row>
    <row r="3" spans="1:11" x14ac:dyDescent="0.25">
      <c r="A3" t="s">
        <v>6</v>
      </c>
      <c r="B3" s="4">
        <v>45000</v>
      </c>
      <c r="C3">
        <v>15</v>
      </c>
      <c r="D3" s="4">
        <f t="shared" ref="D3:D6" si="0">B3*C3/100</f>
        <v>6750</v>
      </c>
      <c r="E3" s="4">
        <f t="shared" ref="E3:E6" si="1">(B3+D3)*$H$2</f>
        <v>7762.5</v>
      </c>
      <c r="F3" s="4">
        <f t="shared" ref="F3:F6" si="2">B3+D3-E3</f>
        <v>43987.5</v>
      </c>
      <c r="G3">
        <v>2</v>
      </c>
    </row>
    <row r="4" spans="1:11" x14ac:dyDescent="0.25">
      <c r="A4" t="s">
        <v>7</v>
      </c>
      <c r="B4" s="4">
        <v>62000</v>
      </c>
      <c r="C4">
        <v>25</v>
      </c>
      <c r="D4" s="4">
        <f t="shared" si="0"/>
        <v>15500</v>
      </c>
      <c r="E4" s="4">
        <f t="shared" si="1"/>
        <v>11625</v>
      </c>
      <c r="F4" s="4">
        <f t="shared" si="2"/>
        <v>65875</v>
      </c>
      <c r="G4">
        <v>3</v>
      </c>
    </row>
    <row r="5" spans="1:11" x14ac:dyDescent="0.25">
      <c r="A5" t="s">
        <v>8</v>
      </c>
      <c r="B5" s="4">
        <v>55000</v>
      </c>
      <c r="C5">
        <v>10</v>
      </c>
      <c r="D5" s="4">
        <f t="shared" si="0"/>
        <v>5500</v>
      </c>
      <c r="E5" s="4">
        <f t="shared" si="1"/>
        <v>9075</v>
      </c>
      <c r="F5" s="4">
        <f t="shared" si="2"/>
        <v>51425</v>
      </c>
      <c r="G5">
        <v>4</v>
      </c>
    </row>
    <row r="6" spans="1:11" x14ac:dyDescent="0.25">
      <c r="A6" t="s">
        <v>9</v>
      </c>
      <c r="B6" s="4">
        <v>40000</v>
      </c>
      <c r="C6">
        <v>30</v>
      </c>
      <c r="D6" s="4">
        <f t="shared" si="0"/>
        <v>12000</v>
      </c>
      <c r="E6" s="4">
        <f t="shared" si="1"/>
        <v>7800</v>
      </c>
      <c r="F6" s="4">
        <f t="shared" si="2"/>
        <v>44200</v>
      </c>
      <c r="G6">
        <v>5</v>
      </c>
    </row>
    <row r="7" spans="1:11" x14ac:dyDescent="0.25">
      <c r="A7" s="1" t="s">
        <v>13</v>
      </c>
      <c r="B7" s="4">
        <f>SUM(B2:B6)</f>
        <v>252000</v>
      </c>
    </row>
    <row r="9" spans="1:11" x14ac:dyDescent="0.25">
      <c r="A9" t="s">
        <v>14</v>
      </c>
      <c r="B9" s="4">
        <f>AVERAGE(F2:F6)</f>
        <v>51297.5</v>
      </c>
    </row>
    <row r="10" spans="1:11" x14ac:dyDescent="0.25">
      <c r="A10" t="s">
        <v>15</v>
      </c>
      <c r="B10" s="4">
        <f>MAX(F2:F6)</f>
        <v>65875</v>
      </c>
    </row>
    <row r="11" spans="1:11" x14ac:dyDescent="0.25">
      <c r="A11" t="s">
        <v>16</v>
      </c>
      <c r="B11" s="4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7" sqref="F7"/>
    </sheetView>
  </sheetViews>
  <sheetFormatPr defaultRowHeight="15" x14ac:dyDescent="0.25"/>
  <cols>
    <col min="1" max="1" width="11.7109375" customWidth="1"/>
    <col min="2" max="2" width="11.28515625" customWidth="1"/>
    <col min="4" max="4" width="9.85546875" customWidth="1"/>
    <col min="5" max="5" width="11.5703125" bestFit="1" customWidth="1"/>
    <col min="6" max="6" width="16.42578125" customWidth="1"/>
    <col min="7" max="7" width="21.28515625" customWidth="1"/>
  </cols>
  <sheetData>
    <row r="1" spans="1:7" x14ac:dyDescent="0.25">
      <c r="A1" t="s">
        <v>17</v>
      </c>
      <c r="B1" s="7" t="s">
        <v>22</v>
      </c>
      <c r="C1" s="7" t="s">
        <v>23</v>
      </c>
      <c r="D1" s="6" t="s">
        <v>24</v>
      </c>
      <c r="E1" t="s">
        <v>25</v>
      </c>
      <c r="F1" s="7" t="s">
        <v>26</v>
      </c>
      <c r="G1" s="7" t="s">
        <v>27</v>
      </c>
    </row>
    <row r="2" spans="1:7" x14ac:dyDescent="0.25">
      <c r="A2" t="s">
        <v>18</v>
      </c>
      <c r="B2" s="7">
        <v>45000</v>
      </c>
      <c r="C2" s="7">
        <v>5</v>
      </c>
      <c r="D2" s="6">
        <v>5</v>
      </c>
      <c r="E2" s="7">
        <f>B2*C2</f>
        <v>225000</v>
      </c>
      <c r="F2" s="7">
        <f>E2*(1-D2/100)</f>
        <v>213750</v>
      </c>
      <c r="G2" s="7">
        <f>E2*$B$8</f>
        <v>45000</v>
      </c>
    </row>
    <row r="3" spans="1:7" x14ac:dyDescent="0.25">
      <c r="A3" t="s">
        <v>19</v>
      </c>
      <c r="B3" s="7">
        <v>18000</v>
      </c>
      <c r="C3" s="7">
        <v>10</v>
      </c>
      <c r="D3" s="6">
        <v>3</v>
      </c>
      <c r="E3" s="7">
        <f t="shared" ref="E3:E5" si="0">B3*C3</f>
        <v>180000</v>
      </c>
      <c r="F3" s="7">
        <f t="shared" ref="F3:F6" si="1">E3*(1-D3/100)</f>
        <v>174600</v>
      </c>
      <c r="G3" s="7">
        <f t="shared" ref="G3:G5" si="2">E3*$B$8</f>
        <v>36000</v>
      </c>
    </row>
    <row r="4" spans="1:7" x14ac:dyDescent="0.25">
      <c r="A4" t="s">
        <v>20</v>
      </c>
      <c r="B4" s="7">
        <v>1500</v>
      </c>
      <c r="C4" s="7">
        <v>25</v>
      </c>
      <c r="D4" s="6">
        <v>10</v>
      </c>
      <c r="E4" s="7">
        <f t="shared" si="0"/>
        <v>37500</v>
      </c>
      <c r="F4" s="7">
        <f t="shared" si="1"/>
        <v>33750</v>
      </c>
      <c r="G4" s="7">
        <f t="shared" si="2"/>
        <v>7500</v>
      </c>
    </row>
    <row r="5" spans="1:7" x14ac:dyDescent="0.25">
      <c r="A5" t="s">
        <v>21</v>
      </c>
      <c r="B5" s="7">
        <v>800</v>
      </c>
      <c r="C5" s="7">
        <v>30</v>
      </c>
      <c r="D5" s="6">
        <v>7</v>
      </c>
      <c r="E5" s="7">
        <f t="shared" si="0"/>
        <v>24000</v>
      </c>
      <c r="F5" s="7">
        <f t="shared" si="1"/>
        <v>22320</v>
      </c>
      <c r="G5" s="7">
        <f t="shared" si="2"/>
        <v>4800</v>
      </c>
    </row>
    <row r="6" spans="1:7" x14ac:dyDescent="0.25">
      <c r="F6" s="7">
        <f>SUM(F2:F5)</f>
        <v>444420</v>
      </c>
    </row>
    <row r="8" spans="1:7" x14ac:dyDescent="0.25">
      <c r="A8" t="s">
        <v>28</v>
      </c>
      <c r="B8" s="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2026-09-24T10:38:11Z</dcterms:created>
  <dcterms:modified xsi:type="dcterms:W3CDTF">2026-09-24T12:02:19Z</dcterms:modified>
</cp:coreProperties>
</file>